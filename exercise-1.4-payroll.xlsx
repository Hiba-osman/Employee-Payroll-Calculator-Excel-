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105" windowWidth="14805" windowHeight="8010" activeTab="1"/>
  </bookViews>
  <sheets>
    <sheet name="README" sheetId="1" r:id="rId1"/>
    <sheet name="Payroll" sheetId="2" r:id="rId2"/>
    <sheet name="Lists" sheetId="3" r:id="rId3"/>
  </sheets>
  <definedNames>
    <definedName name="PF_Rate" comment="provident fund deduction rate">Lists!$B$2</definedName>
    <definedName name="Tax_Rate" comment="the tax rate">Lists!$B$3</definedName>
  </definedNames>
  <calcPr calcId="144525"/>
</workbook>
</file>

<file path=xl/calcChain.xml><?xml version="1.0" encoding="utf-8"?>
<calcChain xmlns="http://schemas.openxmlformats.org/spreadsheetml/2006/main">
  <c r="C22" i="2" l="1"/>
  <c r="C21" i="2"/>
  <c r="C20" i="2"/>
  <c r="C19" i="2"/>
  <c r="C18" i="2"/>
  <c r="C23" i="2" s="1"/>
  <c r="G14" i="2"/>
  <c r="D14" i="2"/>
  <c r="I13" i="2"/>
  <c r="F13" i="2"/>
  <c r="J13" i="2" s="1"/>
  <c r="I12" i="2"/>
  <c r="F12" i="2"/>
  <c r="J12" i="2" s="1"/>
  <c r="J11" i="2"/>
  <c r="K11" i="2" s="1"/>
  <c r="I11" i="2"/>
  <c r="F11" i="2"/>
  <c r="I10" i="2"/>
  <c r="J10" i="2" s="1"/>
  <c r="F10" i="2"/>
  <c r="I9" i="2"/>
  <c r="F9" i="2"/>
  <c r="J9" i="2" s="1"/>
  <c r="I8" i="2"/>
  <c r="F8" i="2"/>
  <c r="J8" i="2" s="1"/>
  <c r="J7" i="2"/>
  <c r="K7" i="2" s="1"/>
  <c r="I7" i="2"/>
  <c r="F7" i="2"/>
  <c r="I6" i="2"/>
  <c r="J6" i="2" s="1"/>
  <c r="F6" i="2"/>
  <c r="I5" i="2"/>
  <c r="F5" i="2"/>
  <c r="J5" i="2" s="1"/>
  <c r="I4" i="2"/>
  <c r="F4" i="2"/>
  <c r="J4" i="2" s="1"/>
  <c r="J3" i="2"/>
  <c r="K3" i="2" s="1"/>
  <c r="I3" i="2"/>
  <c r="F3" i="2"/>
  <c r="I2" i="2"/>
  <c r="J2" i="2" s="1"/>
  <c r="F2" i="2"/>
  <c r="F14" i="2" s="1"/>
  <c r="L1" i="2"/>
  <c r="K1" i="2"/>
  <c r="L5" i="2" l="1"/>
  <c r="K5" i="2"/>
  <c r="M5" i="2" s="1"/>
  <c r="N5" i="2"/>
  <c r="L10" i="2"/>
  <c r="K10" i="2"/>
  <c r="M10" i="2" s="1"/>
  <c r="N10" i="2" s="1"/>
  <c r="L12" i="2"/>
  <c r="K12" i="2"/>
  <c r="L8" i="2"/>
  <c r="K8" i="2"/>
  <c r="M8" i="2" s="1"/>
  <c r="N8" i="2" s="1"/>
  <c r="L9" i="2"/>
  <c r="K9" i="2"/>
  <c r="M9" i="2" s="1"/>
  <c r="N9" i="2" s="1"/>
  <c r="L6" i="2"/>
  <c r="K6" i="2"/>
  <c r="M6" i="2" s="1"/>
  <c r="N6" i="2" s="1"/>
  <c r="D21" i="2" s="1"/>
  <c r="J14" i="2"/>
  <c r="L2" i="2"/>
  <c r="K2" i="2"/>
  <c r="L4" i="2"/>
  <c r="K4" i="2"/>
  <c r="M7" i="2"/>
  <c r="L13" i="2"/>
  <c r="K13" i="2"/>
  <c r="L3" i="2"/>
  <c r="M3" i="2" s="1"/>
  <c r="N3" i="2" s="1"/>
  <c r="D19" i="2" s="1"/>
  <c r="L11" i="2"/>
  <c r="M11" i="2" s="1"/>
  <c r="N11" i="2" s="1"/>
  <c r="I14" i="2"/>
  <c r="L7" i="2"/>
  <c r="N7" i="2"/>
  <c r="D22" i="2" l="1"/>
  <c r="M2" i="2"/>
  <c r="K14" i="2"/>
  <c r="C26" i="2" s="1"/>
  <c r="L14" i="2"/>
  <c r="M13" i="2"/>
  <c r="N13" i="2" s="1"/>
  <c r="M4" i="2"/>
  <c r="N4" i="2" s="1"/>
  <c r="D20" i="2"/>
  <c r="M12" i="2"/>
  <c r="N12" i="2" s="1"/>
  <c r="M14" i="2" l="1"/>
  <c r="N2" i="2"/>
  <c r="D18" i="2" l="1"/>
  <c r="D23" i="2" s="1"/>
  <c r="N14" i="2"/>
  <c r="C25" i="2"/>
</calcChain>
</file>

<file path=xl/comments1.xml><?xml version="1.0" encoding="utf-8"?>
<comments xmlns="http://schemas.openxmlformats.org/spreadsheetml/2006/main">
  <authors>
    <author>Author</author>
  </authors>
  <commentList>
    <comment ref="C25" authorId="0">
      <text>
        <r>
          <rPr>
            <sz val="11"/>
            <color theme="1"/>
            <rFont val="Calibri"/>
            <family val="2"/>
            <scheme val="minor"/>
          </rPr>
          <t>Author:
That reconciles gross − deductions = net at the total level.</t>
        </r>
      </text>
    </comment>
    <comment ref="C26" authorId="0">
      <text>
        <r>
          <rPr>
            <sz val="11"/>
            <color theme="1"/>
            <rFont val="Calibri"/>
            <family val="2"/>
            <scheme val="minor"/>
          </rPr>
          <t>Author:
This verifies the named rates were applied to every row (PF total = gross total × 12%, tax total = gross total × 10%).</t>
        </r>
      </text>
    </comment>
  </commentList>
</comments>
</file>

<file path=xl/sharedStrings.xml><?xml version="1.0" encoding="utf-8"?>
<sst xmlns="http://schemas.openxmlformats.org/spreadsheetml/2006/main" count="107" uniqueCount="88">
  <si>
    <t>EMPLOYEE PAYROLL CALCULATOR</t>
  </si>
  <si>
    <t>Practice exercise</t>
  </si>
  <si>
    <t>PURPOSE</t>
  </si>
  <si>
    <t>Calculate basic pay, overtime pay, gross pay, provident-fund deduction,</t>
  </si>
  <si>
    <t>tax and net pay for 12 employees, using named cells for deduction rates,</t>
  </si>
  <si>
    <t>department grouping and formula self-auditing.</t>
  </si>
  <si>
    <t>SHEETS</t>
  </si>
  <si>
    <t>Payroll : calculations (rows 2-13), totals (row 14), department summary</t>
  </si>
  <si>
    <t xml:space="preserve">          (B16:D23), integrity and rate checks (B25:C26).</t>
  </si>
  <si>
    <t>Lists   : assumption rates and the department list.</t>
  </si>
  <si>
    <t>README  : this page.</t>
  </si>
  <si>
    <t>SKILLS DEMONSTRATED</t>
  </si>
  <si>
    <t>Relative, absolute and mixed references; named ranges; SUM, COUNTIF,</t>
  </si>
  <si>
    <t>SUMIF; TEXT() inside header formulas; sorting with live formulas;</t>
  </si>
  <si>
    <t>conditional formatting; charts; formula auditing.</t>
  </si>
  <si>
    <t>CALCULATIONS</t>
  </si>
  <si>
    <t>Basic Pay        = Days Worked x Daily Rate</t>
  </si>
  <si>
    <t>Overtime Pay     = Overtime Hours x Overtime Rate</t>
  </si>
  <si>
    <t>Gross Pay        = Basic Pay + Overtime Pay</t>
  </si>
  <si>
    <t>PF Deduction     = Gross Pay x PF_Rate</t>
  </si>
  <si>
    <t>Tax              = Gross Pay x Tax_Rate</t>
  </si>
  <si>
    <t>Total Deductions = PF + Tax</t>
  </si>
  <si>
    <t>Net Pay          = Gross Pay - Total Deductions</t>
  </si>
  <si>
    <t>RATES (on the Lists sheet, referenced by name)</t>
  </si>
  <si>
    <t>PF_Rate = 12%      Tax_Rate = 10%</t>
  </si>
  <si>
    <t>Change either and the whole sheet recalculates. Column headers update</t>
  </si>
  <si>
    <t>automatically because they are built with TEXT().</t>
  </si>
  <si>
    <t>RESULTS</t>
  </si>
  <si>
    <t>Net pay total : 46,122.18</t>
  </si>
  <si>
    <t>Gross total   : 59,131.00    Total deductions : 13,008.82</t>
  </si>
  <si>
    <t>Top earners   : Keiko Tanaka 5,350.80 | Grace Kim 4,511.52 | Elena Petrova 4,358.64</t>
  </si>
  <si>
    <t>By department:</t>
  </si>
  <si>
    <t xml:space="preserve">   Engineering    3 people   13,500.24</t>
  </si>
  <si>
    <t xml:space="preserve">   Finance        2 people    7,959.12</t>
  </si>
  <si>
    <t xml:space="preserve">   Operations     3 people   10,795.20</t>
  </si>
  <si>
    <t xml:space="preserve">   Sales          2 people    7,367.10</t>
  </si>
  <si>
    <t xml:space="preserve">   HR             2 people    6,500.52</t>
  </si>
  <si>
    <t>CHECKS</t>
  </si>
  <si>
    <t>Integrity check (C25) : gross total - deductions total = net total.</t>
  </si>
  <si>
    <t>Rate check (C26)      : PF total = gross x 12%  and  tax total = gross x 10%.</t>
  </si>
  <si>
    <t>Both return OK.</t>
  </si>
  <si>
    <t>NOTES</t>
  </si>
  <si>
    <t>The totals row originally computed PF as =I14*PF_Rate (total gross x rate)</t>
  </si>
  <si>
    <t>rather than summing the column. Both give the same answer while the rate is</t>
  </si>
  <si>
    <t>uniform, but the first would silently break if the deduction became</t>
  </si>
  <si>
    <t>non-linear (for example a tax threshold or a contribution cap). It was</t>
  </si>
  <si>
    <t>changed to sum the column and a reconciliation check was added.</t>
  </si>
  <si>
    <t>No.</t>
  </si>
  <si>
    <t>Name</t>
  </si>
  <si>
    <t>Department</t>
  </si>
  <si>
    <t>Days Worked</t>
  </si>
  <si>
    <t>Daily Rate</t>
  </si>
  <si>
    <t>Basic Pay</t>
  </si>
  <si>
    <t>Overtime Hours</t>
  </si>
  <si>
    <t>Overtime Rate</t>
  </si>
  <si>
    <t>Overtime Pay</t>
  </si>
  <si>
    <t>Gross Pay</t>
  </si>
  <si>
    <t>Total deductions</t>
  </si>
  <si>
    <t>Net pay</t>
  </si>
  <si>
    <t>Keiko Tanaka</t>
  </si>
  <si>
    <t>Engineering</t>
  </si>
  <si>
    <t>Grace Kim</t>
  </si>
  <si>
    <t>Finance</t>
  </si>
  <si>
    <t>Elena Petrova</t>
  </si>
  <si>
    <t>Henry Wallace</t>
  </si>
  <si>
    <t>Operations</t>
  </si>
  <si>
    <t>Isabella Rossi</t>
  </si>
  <si>
    <t>Sales</t>
  </si>
  <si>
    <t>Benjamin Carter</t>
  </si>
  <si>
    <t>David Okafor</t>
  </si>
  <si>
    <t>Alice Johnson</t>
  </si>
  <si>
    <t>HR</t>
  </si>
  <si>
    <t>Jamal Brooks</t>
  </si>
  <si>
    <t>Chloe Nguyen</t>
  </si>
  <si>
    <t>Liam O'Sullivan</t>
  </si>
  <si>
    <t>Farhan Ahmed</t>
  </si>
  <si>
    <t>Totals</t>
  </si>
  <si>
    <t>-</t>
  </si>
  <si>
    <t>By Department</t>
  </si>
  <si>
    <t>Headcount</t>
  </si>
  <si>
    <t>Total Net</t>
  </si>
  <si>
    <t>Total</t>
  </si>
  <si>
    <t>Integrity check</t>
  </si>
  <si>
    <t>Rate check</t>
  </si>
  <si>
    <t>Assumptions</t>
  </si>
  <si>
    <t>PF Rate</t>
  </si>
  <si>
    <t>Tax Rate</t>
  </si>
  <si>
    <t>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</si>
</sst>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SDG&quot;* #,##0.00_-;\-&quot;SDG&quot;* #,##0.00_-;_-&quot;SDG&quot;* &quot;-&quot;??_-;_-@_-"/>
    <numFmt numFmtId="164" formatCode="_-[$$-409]* #,##0.00_ ;_-[$$-409]* \-#,##0.00\ ;_-[$$-409]* &quot;-&quot;??_ ;_-@_ "/>
    <numFmt numFmtId="165" formatCode="_-[$$-409]* #,##0_ ;_-[$$-409]* \-#,##0\ ;_-[$$-409]* &quot;-&quot;??_ ;_-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onsolas"/>
      <family val="3"/>
    </font>
    <font>
      <sz val="9"/>
      <name val="Consolas"/>
      <family val="3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4" fontId="2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left"/>
    </xf>
    <xf numFmtId="0" fontId="5" fillId="0" borderId="4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6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left"/>
    </xf>
    <xf numFmtId="0" fontId="2" fillId="0" borderId="10" xfId="0" applyFon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0" xfId="0" applyFont="1"/>
    <xf numFmtId="0" fontId="7" fillId="0" borderId="0" xfId="0" applyFont="1"/>
    <xf numFmtId="9" fontId="0" fillId="0" borderId="0" xfId="0" applyNumberFormat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9" fontId="2" fillId="0" borderId="0" xfId="2" applyFont="1" applyBorder="1" applyAlignment="1">
      <alignment horizontal="center"/>
    </xf>
    <xf numFmtId="0" fontId="0" fillId="0" borderId="0" xfId="0" applyBorder="1"/>
  </cellXfs>
  <cellStyles count="3">
    <cellStyle name="Currency" xfId="1" builtinId="4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Net</a:t>
            </a:r>
            <a:r>
              <a:rPr lang="en-US" baseline="0"/>
              <a:t> Pay By Employee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Payroll!$B$2:$B$13</c:f>
              <c:strCache>
                <c:ptCount val="12"/>
                <c:pt idx="0">
                  <c:v>Keiko Tanaka</c:v>
                </c:pt>
                <c:pt idx="1">
                  <c:v>Grace Kim</c:v>
                </c:pt>
                <c:pt idx="2">
                  <c:v>Elena Petrova</c:v>
                </c:pt>
                <c:pt idx="3">
                  <c:v>Henry Wallace</c:v>
                </c:pt>
                <c:pt idx="4">
                  <c:v>Isabella Rossi</c:v>
                </c:pt>
                <c:pt idx="5">
                  <c:v>Benjamin Carter</c:v>
                </c:pt>
                <c:pt idx="6">
                  <c:v>David Okafor</c:v>
                </c:pt>
                <c:pt idx="7">
                  <c:v>Alice Johnson</c:v>
                </c:pt>
                <c:pt idx="8">
                  <c:v>Jamal Brooks</c:v>
                </c:pt>
                <c:pt idx="9">
                  <c:v>Chloe Nguyen</c:v>
                </c:pt>
                <c:pt idx="10">
                  <c:v>Liam O'Sullivan</c:v>
                </c:pt>
                <c:pt idx="11">
                  <c:v>Farhan Ahmed</c:v>
                </c:pt>
              </c:strCache>
            </c:strRef>
          </c:cat>
          <c:val>
            <c:numRef>
              <c:f>Payroll!$N$2:$N$13</c:f>
              <c:numCache>
                <c:formatCode>_-[$$-409]* #,##0.00_ ;_-[$$-409]* \-#,##0.00\ ;_-[$$-409]* "-"??_ ;_-@_ </c:formatCode>
                <c:ptCount val="12"/>
                <c:pt idx="0">
                  <c:v>5350.8</c:v>
                </c:pt>
                <c:pt idx="1">
                  <c:v>4511.5200000000004</c:v>
                </c:pt>
                <c:pt idx="2">
                  <c:v>4358.6399999999994</c:v>
                </c:pt>
                <c:pt idx="3">
                  <c:v>4009.2</c:v>
                </c:pt>
                <c:pt idx="4">
                  <c:v>3824.34</c:v>
                </c:pt>
                <c:pt idx="5">
                  <c:v>3790.8</c:v>
                </c:pt>
                <c:pt idx="6">
                  <c:v>3744</c:v>
                </c:pt>
                <c:pt idx="7">
                  <c:v>3634.8</c:v>
                </c:pt>
                <c:pt idx="8">
                  <c:v>3542.76</c:v>
                </c:pt>
                <c:pt idx="9">
                  <c:v>3447.6</c:v>
                </c:pt>
                <c:pt idx="10">
                  <c:v>3042</c:v>
                </c:pt>
                <c:pt idx="11">
                  <c:v>2865.7200000000003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08288"/>
        <c:axId val="196109824"/>
      </c:barChart>
      <c:catAx>
        <c:axId val="196108288"/>
        <c:scaling>
          <c:orientation val="maxMin"/>
        </c:scaling>
        <c:delete val="0"/>
        <c:axPos val="l"/>
        <c:majorTickMark val="out"/>
        <c:minorTickMark val="none"/>
        <c:tickLblPos val="nextTo"/>
        <c:crossAx val="196109824"/>
        <c:crosses val="autoZero"/>
        <c:auto val="1"/>
        <c:lblAlgn val="ctr"/>
        <c:lblOffset val="100"/>
        <c:noMultiLvlLbl val="0"/>
      </c:catAx>
      <c:valAx>
        <c:axId val="196109824"/>
        <c:scaling>
          <c:orientation val="minMax"/>
        </c:scaling>
        <c:delete val="0"/>
        <c:axPos val="t"/>
        <c:majorGridlines/>
        <c:numFmt formatCode="_-[$$-409]* #,##0.00_ ;_-[$$-409]* \-#,##0.00\ ;_-[$$-409]* &quot;-&quot;??_ ;_-@_ " sourceLinked="1"/>
        <c:majorTickMark val="out"/>
        <c:minorTickMark val="none"/>
        <c:tickLblPos val="nextTo"/>
        <c:crossAx val="196108288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602541</xdr:colOff>
      <xdr:row>15</xdr:row>
      <xdr:rowOff>123483</xdr:rowOff>
    </xdr:from>
    <xdr:to>
      <xdr:col>12</xdr:col>
      <xdr:colOff>514095</xdr:colOff>
      <xdr:row>33</xdr:row>
      <xdr:rowOff>119062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56"/>
  <sheetViews>
    <sheetView workbookViewId="0"/>
  </sheetViews>
  <sheetFormatPr defaultRowHeight="15" x14ac:dyDescent="0.25"/>
  <cols>
    <col min="1" max="1" width="95" customWidth="1"/>
  </cols>
  <sheetData>
    <row r="1" spans="1:1" ht="15.75" x14ac:dyDescent="0.25">
      <c r="A1" s="25" t="s">
        <v>0</v>
      </c>
    </row>
    <row r="2" spans="1:1" x14ac:dyDescent="0.25">
      <c r="A2" t="s">
        <v>1</v>
      </c>
    </row>
    <row r="4" spans="1:1" x14ac:dyDescent="0.25">
      <c r="A4" s="26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s="26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5" spans="1:1" x14ac:dyDescent="0.25">
      <c r="A15" s="26" t="s">
        <v>11</v>
      </c>
    </row>
    <row r="16" spans="1:1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20" spans="1:1" x14ac:dyDescent="0.25">
      <c r="A20" s="26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9" spans="1:1" x14ac:dyDescent="0.25">
      <c r="A29" s="26" t="s">
        <v>23</v>
      </c>
    </row>
    <row r="30" spans="1:1" x14ac:dyDescent="0.25">
      <c r="A30" t="s">
        <v>24</v>
      </c>
    </row>
    <row r="31" spans="1:1" x14ac:dyDescent="0.25">
      <c r="A31" t="s">
        <v>25</v>
      </c>
    </row>
    <row r="32" spans="1:1" x14ac:dyDescent="0.25">
      <c r="A32" t="s">
        <v>26</v>
      </c>
    </row>
    <row r="34" spans="1:1" x14ac:dyDescent="0.25">
      <c r="A34" s="26" t="s">
        <v>27</v>
      </c>
    </row>
    <row r="35" spans="1:1" x14ac:dyDescent="0.25">
      <c r="A35" t="s">
        <v>28</v>
      </c>
    </row>
    <row r="36" spans="1:1" x14ac:dyDescent="0.25">
      <c r="A36" t="s">
        <v>29</v>
      </c>
    </row>
    <row r="37" spans="1:1" x14ac:dyDescent="0.25">
      <c r="A37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6" spans="1:1" x14ac:dyDescent="0.25">
      <c r="A46" s="26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49" spans="1:1" x14ac:dyDescent="0.25">
      <c r="A49" t="s">
        <v>40</v>
      </c>
    </row>
    <row r="51" spans="1:1" x14ac:dyDescent="0.25">
      <c r="A51" s="26" t="s">
        <v>41</v>
      </c>
    </row>
    <row r="52" spans="1:1" x14ac:dyDescent="0.25">
      <c r="A52" t="s">
        <v>42</v>
      </c>
    </row>
    <row r="53" spans="1:1" x14ac:dyDescent="0.25">
      <c r="A53" t="s">
        <v>43</v>
      </c>
    </row>
    <row r="54" spans="1:1" x14ac:dyDescent="0.25">
      <c r="A54" t="s">
        <v>44</v>
      </c>
    </row>
    <row r="55" spans="1:1" x14ac:dyDescent="0.25">
      <c r="A55" t="s">
        <v>45</v>
      </c>
    </row>
    <row r="56" spans="1:1" x14ac:dyDescent="0.25">
      <c r="A56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S37"/>
  <sheetViews>
    <sheetView tabSelected="1" zoomScale="64" zoomScaleNormal="64" workbookViewId="0">
      <selection activeCell="A23" sqref="A23"/>
    </sheetView>
  </sheetViews>
  <sheetFormatPr defaultRowHeight="15" x14ac:dyDescent="0.25"/>
  <cols>
    <col min="1" max="1" width="14.140625" bestFit="1" customWidth="1"/>
    <col min="2" max="2" width="15.42578125" bestFit="1" customWidth="1"/>
    <col min="3" max="3" width="15.42578125" customWidth="1"/>
    <col min="4" max="4" width="12.5703125" bestFit="1" customWidth="1"/>
    <col min="5" max="5" width="9.85546875" bestFit="1" customWidth="1"/>
    <col min="6" max="6" width="9.85546875" customWidth="1"/>
    <col min="7" max="7" width="15.140625" bestFit="1" customWidth="1"/>
    <col min="8" max="8" width="14" bestFit="1" customWidth="1"/>
    <col min="9" max="9" width="13.140625" customWidth="1"/>
    <col min="10" max="10" width="12.42578125" bestFit="1" customWidth="1"/>
    <col min="11" max="11" width="11.7109375" bestFit="1" customWidth="1"/>
    <col min="12" max="12" width="11.28515625" bestFit="1" customWidth="1"/>
    <col min="13" max="13" width="16.140625" bestFit="1" customWidth="1"/>
    <col min="14" max="14" width="12.42578125" bestFit="1" customWidth="1"/>
  </cols>
  <sheetData>
    <row r="1" spans="1:19" x14ac:dyDescent="0.25">
      <c r="A1" s="10" t="s">
        <v>47</v>
      </c>
      <c r="B1" s="10" t="s">
        <v>48</v>
      </c>
      <c r="C1" s="10" t="s">
        <v>49</v>
      </c>
      <c r="D1" s="10" t="s">
        <v>50</v>
      </c>
      <c r="E1" s="10" t="s">
        <v>51</v>
      </c>
      <c r="F1" s="10" t="s">
        <v>52</v>
      </c>
      <c r="G1" s="10" t="s">
        <v>53</v>
      </c>
      <c r="H1" s="10" t="s">
        <v>54</v>
      </c>
      <c r="I1" s="10" t="s">
        <v>55</v>
      </c>
      <c r="J1" s="10" t="s">
        <v>56</v>
      </c>
      <c r="K1" s="10" t="str">
        <f>"PF ("&amp;TEXT(PF_Rate,"0%")&amp;")"</f>
        <v>PF (12%)</v>
      </c>
      <c r="L1" s="10" t="str">
        <f>"Tax ("&amp;TEXT(Tax_Rate,"0%")&amp;")"</f>
        <v>Tax (10%)</v>
      </c>
      <c r="M1" s="11" t="s">
        <v>57</v>
      </c>
      <c r="N1" s="10" t="s">
        <v>58</v>
      </c>
      <c r="O1" s="1"/>
      <c r="P1" s="1"/>
      <c r="Q1" s="1"/>
      <c r="R1" s="1"/>
      <c r="S1" s="1"/>
    </row>
    <row r="2" spans="1:19" x14ac:dyDescent="0.25">
      <c r="A2" s="10">
        <v>11</v>
      </c>
      <c r="B2" s="4" t="s">
        <v>59</v>
      </c>
      <c r="C2" s="4" t="s">
        <v>60</v>
      </c>
      <c r="D2" s="4">
        <v>26</v>
      </c>
      <c r="E2" s="4">
        <v>230</v>
      </c>
      <c r="F2" s="7">
        <f t="shared" ref="F2:F13" si="0">D2*E2</f>
        <v>5980</v>
      </c>
      <c r="G2" s="4">
        <v>20</v>
      </c>
      <c r="H2" s="4">
        <v>44</v>
      </c>
      <c r="I2" s="5">
        <f t="shared" ref="I2:I13" si="1">G2*H2</f>
        <v>880</v>
      </c>
      <c r="J2" s="5">
        <f t="shared" ref="J2:J13" si="2">F2+I2</f>
        <v>6860</v>
      </c>
      <c r="K2" s="9">
        <f t="shared" ref="K2:K13" si="3">J2*PF_Rate</f>
        <v>823.19999999999993</v>
      </c>
      <c r="L2" s="5">
        <f t="shared" ref="L2:L13" si="4">J2*Tax_Rate</f>
        <v>686</v>
      </c>
      <c r="M2" s="5">
        <f t="shared" ref="M2:M13" si="5">K2+L2</f>
        <v>1509.1999999999998</v>
      </c>
      <c r="N2" s="5">
        <f t="shared" ref="N2:N13" si="6">J2-M2</f>
        <v>5350.8</v>
      </c>
      <c r="O2" s="1"/>
      <c r="P2" s="1"/>
      <c r="Q2" s="1"/>
      <c r="R2" s="1"/>
      <c r="S2" s="1"/>
    </row>
    <row r="3" spans="1:19" x14ac:dyDescent="0.25">
      <c r="A3" s="10">
        <v>7</v>
      </c>
      <c r="B3" s="3" t="s">
        <v>61</v>
      </c>
      <c r="C3" s="3" t="s">
        <v>62</v>
      </c>
      <c r="D3" s="3">
        <v>24</v>
      </c>
      <c r="E3" s="3">
        <v>220</v>
      </c>
      <c r="F3" s="7">
        <f t="shared" si="0"/>
        <v>5280</v>
      </c>
      <c r="G3" s="4">
        <v>12</v>
      </c>
      <c r="H3" s="4">
        <v>42</v>
      </c>
      <c r="I3" s="5">
        <f t="shared" si="1"/>
        <v>504</v>
      </c>
      <c r="J3" s="5">
        <f t="shared" si="2"/>
        <v>5784</v>
      </c>
      <c r="K3" s="9">
        <f t="shared" si="3"/>
        <v>694.07999999999993</v>
      </c>
      <c r="L3" s="5">
        <f t="shared" si="4"/>
        <v>578.4</v>
      </c>
      <c r="M3" s="5">
        <f t="shared" si="5"/>
        <v>1272.48</v>
      </c>
      <c r="N3" s="5">
        <f t="shared" si="6"/>
        <v>4511.5200000000004</v>
      </c>
      <c r="O3" s="1"/>
      <c r="P3" s="1"/>
      <c r="Q3" s="1"/>
      <c r="R3" s="1"/>
      <c r="S3" s="1"/>
    </row>
    <row r="4" spans="1:19" x14ac:dyDescent="0.25">
      <c r="A4" s="10">
        <v>5</v>
      </c>
      <c r="B4" s="3" t="s">
        <v>63</v>
      </c>
      <c r="C4" s="3" t="s">
        <v>60</v>
      </c>
      <c r="D4" s="3">
        <v>26</v>
      </c>
      <c r="E4" s="3">
        <v>190</v>
      </c>
      <c r="F4" s="7">
        <f t="shared" si="0"/>
        <v>4940</v>
      </c>
      <c r="G4" s="4">
        <v>18</v>
      </c>
      <c r="H4" s="4">
        <v>36</v>
      </c>
      <c r="I4" s="5">
        <f t="shared" si="1"/>
        <v>648</v>
      </c>
      <c r="J4" s="5">
        <f t="shared" si="2"/>
        <v>5588</v>
      </c>
      <c r="K4" s="9">
        <f t="shared" si="3"/>
        <v>670.56</v>
      </c>
      <c r="L4" s="5">
        <f t="shared" si="4"/>
        <v>558.80000000000007</v>
      </c>
      <c r="M4" s="5">
        <f t="shared" si="5"/>
        <v>1229.3600000000001</v>
      </c>
      <c r="N4" s="5">
        <f t="shared" si="6"/>
        <v>4358.6399999999994</v>
      </c>
      <c r="O4" s="1"/>
      <c r="P4" s="1"/>
      <c r="Q4" s="1"/>
      <c r="R4" s="1"/>
      <c r="S4" s="1"/>
    </row>
    <row r="5" spans="1:19" x14ac:dyDescent="0.25">
      <c r="A5" s="10">
        <v>8</v>
      </c>
      <c r="B5" s="3" t="s">
        <v>64</v>
      </c>
      <c r="C5" s="3" t="s">
        <v>65</v>
      </c>
      <c r="D5" s="3">
        <v>19</v>
      </c>
      <c r="E5" s="3">
        <v>260</v>
      </c>
      <c r="F5" s="7">
        <f t="shared" si="0"/>
        <v>4940</v>
      </c>
      <c r="G5" s="4">
        <v>4</v>
      </c>
      <c r="H5" s="4">
        <v>50</v>
      </c>
      <c r="I5" s="5">
        <f t="shared" si="1"/>
        <v>200</v>
      </c>
      <c r="J5" s="5">
        <f t="shared" si="2"/>
        <v>5140</v>
      </c>
      <c r="K5" s="9">
        <f t="shared" si="3"/>
        <v>616.79999999999995</v>
      </c>
      <c r="L5" s="5">
        <f t="shared" si="4"/>
        <v>514</v>
      </c>
      <c r="M5" s="5">
        <f t="shared" si="5"/>
        <v>1130.8</v>
      </c>
      <c r="N5" s="5">
        <f t="shared" si="6"/>
        <v>4009.2</v>
      </c>
      <c r="O5" s="1"/>
      <c r="P5" s="1"/>
      <c r="Q5" s="1"/>
      <c r="R5" s="1"/>
      <c r="S5" s="1"/>
    </row>
    <row r="6" spans="1:19" x14ac:dyDescent="0.25">
      <c r="A6" s="10">
        <v>9</v>
      </c>
      <c r="B6" s="4" t="s">
        <v>66</v>
      </c>
      <c r="C6" s="4" t="s">
        <v>67</v>
      </c>
      <c r="D6" s="4">
        <v>25</v>
      </c>
      <c r="E6" s="4">
        <v>175</v>
      </c>
      <c r="F6" s="7">
        <f t="shared" si="0"/>
        <v>4375</v>
      </c>
      <c r="G6" s="4">
        <v>16</v>
      </c>
      <c r="H6" s="4">
        <v>33</v>
      </c>
      <c r="I6" s="5">
        <f t="shared" si="1"/>
        <v>528</v>
      </c>
      <c r="J6" s="5">
        <f t="shared" si="2"/>
        <v>4903</v>
      </c>
      <c r="K6" s="9">
        <f t="shared" si="3"/>
        <v>588.36</v>
      </c>
      <c r="L6" s="5">
        <f t="shared" si="4"/>
        <v>490.3</v>
      </c>
      <c r="M6" s="5">
        <f t="shared" si="5"/>
        <v>1078.6600000000001</v>
      </c>
      <c r="N6" s="5">
        <f t="shared" si="6"/>
        <v>3824.34</v>
      </c>
      <c r="O6" s="1"/>
      <c r="P6" s="1"/>
      <c r="Q6" s="1"/>
      <c r="R6" s="1"/>
      <c r="S6" s="1"/>
    </row>
    <row r="7" spans="1:19" x14ac:dyDescent="0.25">
      <c r="A7" s="10">
        <v>2</v>
      </c>
      <c r="B7" s="3" t="s">
        <v>68</v>
      </c>
      <c r="C7" s="3" t="s">
        <v>60</v>
      </c>
      <c r="D7" s="3">
        <v>22</v>
      </c>
      <c r="E7" s="3">
        <v>210</v>
      </c>
      <c r="F7" s="7">
        <f t="shared" si="0"/>
        <v>4620</v>
      </c>
      <c r="G7" s="4">
        <v>6</v>
      </c>
      <c r="H7" s="4">
        <v>40</v>
      </c>
      <c r="I7" s="5">
        <f t="shared" si="1"/>
        <v>240</v>
      </c>
      <c r="J7" s="5">
        <f t="shared" si="2"/>
        <v>4860</v>
      </c>
      <c r="K7" s="9">
        <f t="shared" si="3"/>
        <v>583.19999999999993</v>
      </c>
      <c r="L7" s="5">
        <f t="shared" si="4"/>
        <v>486</v>
      </c>
      <c r="M7" s="5">
        <f t="shared" si="5"/>
        <v>1069.1999999999998</v>
      </c>
      <c r="N7" s="5">
        <f t="shared" si="6"/>
        <v>3790.8</v>
      </c>
      <c r="O7" s="1"/>
      <c r="P7" s="1"/>
      <c r="Q7" s="1"/>
      <c r="R7" s="1"/>
      <c r="S7" s="1"/>
    </row>
    <row r="8" spans="1:19" x14ac:dyDescent="0.25">
      <c r="A8" s="10">
        <v>4</v>
      </c>
      <c r="B8" s="3" t="s">
        <v>69</v>
      </c>
      <c r="C8" s="3" t="s">
        <v>65</v>
      </c>
      <c r="D8" s="3">
        <v>20</v>
      </c>
      <c r="E8" s="3">
        <v>240</v>
      </c>
      <c r="F8" s="7">
        <f t="shared" si="0"/>
        <v>4800</v>
      </c>
      <c r="G8" s="4">
        <v>0</v>
      </c>
      <c r="H8" s="4">
        <v>45</v>
      </c>
      <c r="I8" s="5">
        <f t="shared" si="1"/>
        <v>0</v>
      </c>
      <c r="J8" s="5">
        <f t="shared" si="2"/>
        <v>4800</v>
      </c>
      <c r="K8" s="9">
        <f t="shared" si="3"/>
        <v>576</v>
      </c>
      <c r="L8" s="5">
        <f t="shared" si="4"/>
        <v>480</v>
      </c>
      <c r="M8" s="5">
        <f t="shared" si="5"/>
        <v>1056</v>
      </c>
      <c r="N8" s="5">
        <f t="shared" si="6"/>
        <v>3744</v>
      </c>
      <c r="O8" s="1"/>
      <c r="P8" s="1"/>
      <c r="Q8" s="1"/>
      <c r="R8" s="1"/>
      <c r="S8" s="1"/>
    </row>
    <row r="9" spans="1:19" x14ac:dyDescent="0.25">
      <c r="A9" s="10">
        <v>1</v>
      </c>
      <c r="B9" s="4" t="s">
        <v>70</v>
      </c>
      <c r="C9" s="4" t="s">
        <v>71</v>
      </c>
      <c r="D9" s="4">
        <v>24</v>
      </c>
      <c r="E9" s="4">
        <v>180</v>
      </c>
      <c r="F9" s="7">
        <f t="shared" si="0"/>
        <v>4320</v>
      </c>
      <c r="G9" s="4">
        <v>10</v>
      </c>
      <c r="H9" s="4">
        <v>34</v>
      </c>
      <c r="I9" s="5">
        <f t="shared" si="1"/>
        <v>340</v>
      </c>
      <c r="J9" s="5">
        <f t="shared" si="2"/>
        <v>4660</v>
      </c>
      <c r="K9" s="9">
        <f t="shared" si="3"/>
        <v>559.19999999999993</v>
      </c>
      <c r="L9" s="5">
        <f t="shared" si="4"/>
        <v>466</v>
      </c>
      <c r="M9" s="5">
        <f t="shared" si="5"/>
        <v>1025.1999999999998</v>
      </c>
      <c r="N9" s="5">
        <f t="shared" si="6"/>
        <v>3634.8</v>
      </c>
      <c r="O9" s="1"/>
      <c r="P9" s="1"/>
      <c r="Q9" s="1"/>
      <c r="R9" s="1"/>
      <c r="S9" s="1"/>
    </row>
    <row r="10" spans="1:19" x14ac:dyDescent="0.25">
      <c r="A10" s="10">
        <v>10</v>
      </c>
      <c r="B10" s="4" t="s">
        <v>72</v>
      </c>
      <c r="C10" s="4" t="s">
        <v>67</v>
      </c>
      <c r="D10" s="4">
        <v>21</v>
      </c>
      <c r="E10" s="4">
        <v>200</v>
      </c>
      <c r="F10" s="7">
        <f t="shared" si="0"/>
        <v>4200</v>
      </c>
      <c r="G10" s="4">
        <v>9</v>
      </c>
      <c r="H10" s="4">
        <v>38</v>
      </c>
      <c r="I10" s="5">
        <f t="shared" si="1"/>
        <v>342</v>
      </c>
      <c r="J10" s="5">
        <f t="shared" si="2"/>
        <v>4542</v>
      </c>
      <c r="K10" s="9">
        <f t="shared" si="3"/>
        <v>545.04</v>
      </c>
      <c r="L10" s="5">
        <f t="shared" si="4"/>
        <v>454.20000000000005</v>
      </c>
      <c r="M10" s="5">
        <f t="shared" si="5"/>
        <v>999.24</v>
      </c>
      <c r="N10" s="5">
        <f t="shared" si="6"/>
        <v>3542.76</v>
      </c>
      <c r="O10" s="1"/>
      <c r="P10" s="1"/>
      <c r="Q10" s="1"/>
      <c r="R10" s="1"/>
      <c r="S10" s="1"/>
    </row>
    <row r="11" spans="1:19" x14ac:dyDescent="0.25">
      <c r="A11" s="10">
        <v>3</v>
      </c>
      <c r="B11" s="3" t="s">
        <v>73</v>
      </c>
      <c r="C11" s="3" t="s">
        <v>62</v>
      </c>
      <c r="D11" s="3">
        <v>25</v>
      </c>
      <c r="E11" s="3">
        <v>160</v>
      </c>
      <c r="F11" s="7">
        <f t="shared" si="0"/>
        <v>4000</v>
      </c>
      <c r="G11" s="4">
        <v>14</v>
      </c>
      <c r="H11" s="4">
        <v>30</v>
      </c>
      <c r="I11" s="5">
        <f t="shared" si="1"/>
        <v>420</v>
      </c>
      <c r="J11" s="5">
        <f t="shared" si="2"/>
        <v>4420</v>
      </c>
      <c r="K11" s="9">
        <f t="shared" si="3"/>
        <v>530.4</v>
      </c>
      <c r="L11" s="5">
        <f t="shared" si="4"/>
        <v>442</v>
      </c>
      <c r="M11" s="5">
        <f t="shared" si="5"/>
        <v>972.4</v>
      </c>
      <c r="N11" s="5">
        <f t="shared" si="6"/>
        <v>3447.6</v>
      </c>
      <c r="O11" s="1"/>
      <c r="P11" s="1"/>
      <c r="Q11" s="1"/>
      <c r="R11" s="1"/>
      <c r="S11" s="1"/>
    </row>
    <row r="12" spans="1:19" x14ac:dyDescent="0.25">
      <c r="A12" s="10">
        <v>12</v>
      </c>
      <c r="B12" s="4" t="s">
        <v>74</v>
      </c>
      <c r="C12" s="4" t="s">
        <v>65</v>
      </c>
      <c r="D12" s="4">
        <v>22</v>
      </c>
      <c r="E12" s="4">
        <v>170</v>
      </c>
      <c r="F12" s="7">
        <f t="shared" si="0"/>
        <v>3740</v>
      </c>
      <c r="G12" s="4">
        <v>5</v>
      </c>
      <c r="H12" s="4">
        <v>32</v>
      </c>
      <c r="I12" s="5">
        <f t="shared" si="1"/>
        <v>160</v>
      </c>
      <c r="J12" s="5">
        <f t="shared" si="2"/>
        <v>3900</v>
      </c>
      <c r="K12" s="9">
        <f t="shared" si="3"/>
        <v>468</v>
      </c>
      <c r="L12" s="5">
        <f t="shared" si="4"/>
        <v>390</v>
      </c>
      <c r="M12" s="5">
        <f t="shared" si="5"/>
        <v>858</v>
      </c>
      <c r="N12" s="5">
        <f t="shared" si="6"/>
        <v>3042</v>
      </c>
      <c r="O12" s="1"/>
      <c r="P12" s="1"/>
      <c r="Q12" s="1"/>
      <c r="R12" s="1"/>
      <c r="S12" s="1"/>
    </row>
    <row r="13" spans="1:19" x14ac:dyDescent="0.25">
      <c r="A13" s="10">
        <v>6</v>
      </c>
      <c r="B13" s="3" t="s">
        <v>75</v>
      </c>
      <c r="C13" s="3" t="s">
        <v>71</v>
      </c>
      <c r="D13" s="3">
        <v>23</v>
      </c>
      <c r="E13" s="3">
        <v>150</v>
      </c>
      <c r="F13" s="7">
        <f t="shared" si="0"/>
        <v>3450</v>
      </c>
      <c r="G13" s="4">
        <v>8</v>
      </c>
      <c r="H13" s="4">
        <v>28</v>
      </c>
      <c r="I13" s="5">
        <f t="shared" si="1"/>
        <v>224</v>
      </c>
      <c r="J13" s="5">
        <f t="shared" si="2"/>
        <v>3674</v>
      </c>
      <c r="K13" s="9">
        <f t="shared" si="3"/>
        <v>440.88</v>
      </c>
      <c r="L13" s="5">
        <f t="shared" si="4"/>
        <v>367.40000000000003</v>
      </c>
      <c r="M13" s="5">
        <f t="shared" si="5"/>
        <v>808.28</v>
      </c>
      <c r="N13" s="5">
        <f t="shared" si="6"/>
        <v>2865.7200000000003</v>
      </c>
      <c r="O13" s="1"/>
      <c r="P13" s="1"/>
      <c r="Q13" s="1"/>
      <c r="R13" s="1"/>
      <c r="S13" s="1"/>
    </row>
    <row r="14" spans="1:19" x14ac:dyDescent="0.25">
      <c r="A14" s="11"/>
      <c r="B14" s="2" t="s">
        <v>76</v>
      </c>
      <c r="C14" s="2"/>
      <c r="D14" s="2">
        <f>SUM(D2:D13)</f>
        <v>277</v>
      </c>
      <c r="E14" s="2" t="s">
        <v>77</v>
      </c>
      <c r="F14" s="8">
        <f>SUM(F2:F13)</f>
        <v>54645</v>
      </c>
      <c r="G14" s="2">
        <f>SUM(G2:G13)</f>
        <v>122</v>
      </c>
      <c r="H14" s="2" t="s">
        <v>77</v>
      </c>
      <c r="I14" s="6">
        <f t="shared" ref="I14:N14" si="7">SUM(I2:I13)</f>
        <v>4486</v>
      </c>
      <c r="J14" s="6">
        <f t="shared" si="7"/>
        <v>59131</v>
      </c>
      <c r="K14" s="9">
        <f t="shared" si="7"/>
        <v>7095.7199999999984</v>
      </c>
      <c r="L14" s="9">
        <f t="shared" si="7"/>
        <v>5913.0999999999995</v>
      </c>
      <c r="M14" s="6">
        <f t="shared" si="7"/>
        <v>13008.820000000002</v>
      </c>
      <c r="N14" s="6">
        <f t="shared" si="7"/>
        <v>46122.18</v>
      </c>
      <c r="O14" s="1"/>
      <c r="P14" s="1"/>
      <c r="Q14" s="1"/>
      <c r="R14" s="1"/>
      <c r="S14" s="1"/>
    </row>
    <row r="15" spans="1:19" ht="15.75" customHeight="1" thickBot="1" x14ac:dyDescent="0.3">
      <c r="A15" s="1"/>
      <c r="B15" s="2"/>
      <c r="C15" s="2"/>
      <c r="D15" s="2"/>
      <c r="E15" s="2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5">
      <c r="A16" s="1"/>
      <c r="B16" s="17" t="s">
        <v>78</v>
      </c>
      <c r="C16" s="18" t="s">
        <v>79</v>
      </c>
      <c r="D16" s="19" t="s">
        <v>80</v>
      </c>
      <c r="F16" s="2"/>
      <c r="G16" s="2"/>
      <c r="H16" s="2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A17" s="1"/>
      <c r="B17" s="20" t="s">
        <v>49</v>
      </c>
      <c r="C17" s="16"/>
      <c r="D17" s="21"/>
      <c r="F17" s="2"/>
      <c r="G17" s="2"/>
      <c r="H17" s="2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 s="1"/>
      <c r="B18" s="20" t="s">
        <v>60</v>
      </c>
      <c r="C18" s="16">
        <f>COUNTIF($C$2:$C$13,$B18)</f>
        <v>3</v>
      </c>
      <c r="D18" s="21">
        <f>SUMIF($C$2:$C$13,$B18,$N$2:$N$13)</f>
        <v>13500.239999999998</v>
      </c>
      <c r="F18" s="2"/>
      <c r="G18" s="2"/>
      <c r="H18" s="2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5">
      <c r="A19" s="1"/>
      <c r="B19" s="20" t="s">
        <v>62</v>
      </c>
      <c r="C19" s="16">
        <f>COUNTIF($C$2:$C$13,$B19)</f>
        <v>2</v>
      </c>
      <c r="D19" s="21">
        <f>SUMIF($C$2:$C$13,$B19,$N$2:$N$13)</f>
        <v>7959.1200000000008</v>
      </c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5">
      <c r="A20" s="1"/>
      <c r="B20" s="20" t="s">
        <v>65</v>
      </c>
      <c r="C20" s="16">
        <f>COUNTIF($C$2:$C$13,$B20)</f>
        <v>3</v>
      </c>
      <c r="D20" s="21">
        <f>SUMIF($C$2:$C$13,$B20,$N$2:$N$13)</f>
        <v>10795.2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5">
      <c r="A21" s="1"/>
      <c r="B21" s="20" t="s">
        <v>67</v>
      </c>
      <c r="C21" s="16">
        <f>COUNTIF($C$2:$C$13,$B21)</f>
        <v>2</v>
      </c>
      <c r="D21" s="21">
        <f>SUMIF($C$2:$C$13,$B21,$N$2:$N$13)</f>
        <v>7367.1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/>
      <c r="B22" s="20" t="s">
        <v>71</v>
      </c>
      <c r="C22" s="16">
        <f>COUNTIF($C$2:$C$13,$B22)</f>
        <v>2</v>
      </c>
      <c r="D22" s="21">
        <f>SUMIF($C$2:$C$13,$B22,$N$2:$N$13)</f>
        <v>6500.52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.75" customHeight="1" thickBot="1" x14ac:dyDescent="0.3">
      <c r="A23" s="1"/>
      <c r="B23" s="22" t="s">
        <v>81</v>
      </c>
      <c r="C23" s="23">
        <f>SUM(C18:C22)</f>
        <v>12</v>
      </c>
      <c r="D23" s="24">
        <f>SUM(D18:D22)</f>
        <v>46122.180000000008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75" customHeight="1" thickBot="1" x14ac:dyDescent="0.3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B25" s="14" t="s">
        <v>82</v>
      </c>
      <c r="C25" s="12" t="str">
        <f>IF(ABS(J14-M14-N14)&lt;0.01,"OK","CHECK")</f>
        <v>OK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 thickBot="1" x14ac:dyDescent="0.3">
      <c r="A26" s="1"/>
      <c r="B26" s="15" t="s">
        <v>83</v>
      </c>
      <c r="C26" s="13" t="str">
        <f>IF(AND(ABS(K14-J14*PF_Rate)&lt;0.01,ABS(L14-J14*Tax_Rate)&lt;0.01),"OK","CHECK")</f>
        <v>OK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customHeight="1" x14ac:dyDescent="0.25">
      <c r="A28" s="1"/>
      <c r="B28" s="28"/>
      <c r="C28" s="2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B29" s="29"/>
      <c r="C29" s="30"/>
    </row>
    <row r="30" spans="1:19" ht="15.75" customHeight="1" x14ac:dyDescent="0.25">
      <c r="B30" s="29"/>
      <c r="C30" s="30"/>
    </row>
    <row r="31" spans="1:19" ht="15.75" customHeight="1" x14ac:dyDescent="0.25">
      <c r="B31" s="31"/>
      <c r="C31" s="31"/>
    </row>
    <row r="32" spans="1:19" x14ac:dyDescent="0.25">
      <c r="B32" s="31"/>
      <c r="C32" s="31"/>
    </row>
    <row r="33" spans="2:3" x14ac:dyDescent="0.25">
      <c r="B33" s="31"/>
      <c r="C33" s="31"/>
    </row>
    <row r="34" spans="2:3" x14ac:dyDescent="0.25">
      <c r="B34" s="31"/>
      <c r="C34" s="31"/>
    </row>
    <row r="35" spans="2:3" x14ac:dyDescent="0.25">
      <c r="B35" s="31"/>
      <c r="C35" s="31"/>
    </row>
    <row r="36" spans="2:3" x14ac:dyDescent="0.25">
      <c r="B36" s="31"/>
      <c r="C36" s="31"/>
    </row>
    <row r="37" spans="2:3" ht="15.75" customHeight="1" x14ac:dyDescent="0.25">
      <c r="B37" s="31"/>
      <c r="C37" s="31"/>
    </row>
  </sheetData>
  <conditionalFormatting sqref="G2:G13">
    <cfRule type="cellIs" dxfId="0" priority="1" operator="greaterThan">
      <formula>15</formula>
    </cfRule>
  </conditionalFormatting>
  <dataValidations count="1">
    <dataValidation type="list" allowBlank="1" showInputMessage="1" showErrorMessage="1" sqref="C2:C13">
      <formula1>$B$33:$B$37</formula1>
    </dataValidation>
  </dataValidations>
  <pageMargins left="0.7" right="0.7" top="0.75" bottom="0.75" header="0.3" footer="0.3"/>
  <pageSetup orientation="portrait" horizontalDpi="4294967295" verticalDpi="4294967295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0"/>
  <sheetViews>
    <sheetView workbookViewId="0"/>
  </sheetViews>
  <sheetFormatPr defaultRowHeight="15" x14ac:dyDescent="0.25"/>
  <cols>
    <col min="1" max="1" width="18" customWidth="1"/>
    <col min="2" max="2" width="10" customWidth="1"/>
  </cols>
  <sheetData>
    <row r="1" spans="1:2" ht="15.75" x14ac:dyDescent="0.25">
      <c r="A1" s="25" t="s">
        <v>84</v>
      </c>
    </row>
    <row r="2" spans="1:2" x14ac:dyDescent="0.25">
      <c r="A2" t="s">
        <v>85</v>
      </c>
      <c r="B2" s="27">
        <v>0.12</v>
      </c>
    </row>
    <row r="3" spans="1:2" x14ac:dyDescent="0.25">
      <c r="A3" t="s">
        <v>86</v>
      </c>
      <c r="B3" s="27">
        <v>0.1</v>
      </c>
    </row>
    <row r="5" spans="1:2" ht="15.75" x14ac:dyDescent="0.25">
      <c r="A5" s="25" t="s">
        <v>87</v>
      </c>
    </row>
    <row r="6" spans="1:2" x14ac:dyDescent="0.25">
      <c r="A6" t="s">
        <v>60</v>
      </c>
    </row>
    <row r="7" spans="1:2" x14ac:dyDescent="0.25">
      <c r="A7" t="s">
        <v>62</v>
      </c>
    </row>
    <row r="8" spans="1:2" x14ac:dyDescent="0.25">
      <c r="A8" t="s">
        <v>65</v>
      </c>
    </row>
    <row r="9" spans="1:2" x14ac:dyDescent="0.25">
      <c r="A9" t="s">
        <v>67</v>
      </c>
    </row>
    <row r="10" spans="1:2" x14ac:dyDescent="0.25">
      <c r="A10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README</vt:lpstr>
      <vt:lpstr>Payroll</vt:lpstr>
      <vt:lpstr>Lists</vt:lpstr>
      <vt:lpstr>PF_Rate</vt:lpstr>
      <vt:lpstr>Tax_Rate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guestt</dc:creator>
  <cp:lastModifiedBy>guestt</cp:lastModifiedBy>
  <dcterms:created xsi:type="dcterms:W3CDTF">2006-09-16T00:00:00Z</dcterms:created>
  <dcterms:modified xsi:type="dcterms:W3CDTF">2026-10-03T19:11:55Z</dcterms:modified>
</cp:coreProperties>
</file>